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55E3D52F-EA34-4EED-9A19-AD4DFD5A97BE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Sheet1" sheetId="1" r:id="rId1"/>
    <sheet name="Sheet2" sheetId="2" r:id="rId2"/>
    <sheet name="all Category" sheetId="3" r:id="rId3"/>
    <sheet name="Initiativ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4" l="1"/>
  <c r="I40" i="4" s="1"/>
  <c r="I43" i="4"/>
  <c r="I42" i="4"/>
  <c r="I39" i="4" s="1"/>
  <c r="I41" i="4" l="1"/>
  <c r="I38" i="4"/>
</calcChain>
</file>

<file path=xl/sharedStrings.xml><?xml version="1.0" encoding="utf-8"?>
<sst xmlns="http://schemas.openxmlformats.org/spreadsheetml/2006/main" count="457" uniqueCount="285">
  <si>
    <t>City Code</t>
  </si>
  <si>
    <t>RDH2</t>
  </si>
  <si>
    <t>HSA1</t>
  </si>
  <si>
    <t>QSM2</t>
  </si>
  <si>
    <t>ASR2</t>
  </si>
  <si>
    <t>DAM2</t>
  </si>
  <si>
    <t>JDH3</t>
  </si>
  <si>
    <t>JDH4</t>
  </si>
  <si>
    <t>JDH1</t>
  </si>
  <si>
    <t>MKH2</t>
  </si>
  <si>
    <t>DAM3</t>
  </si>
  <si>
    <t>JDH2</t>
  </si>
  <si>
    <t>SUD1</t>
  </si>
  <si>
    <t>MAD1</t>
  </si>
  <si>
    <t>KHJ</t>
  </si>
  <si>
    <t>RDH3</t>
  </si>
  <si>
    <t>HSA3</t>
  </si>
  <si>
    <t>JOF1</t>
  </si>
  <si>
    <t>QSM3</t>
  </si>
  <si>
    <t>TAF1</t>
  </si>
  <si>
    <t>HAL1</t>
  </si>
  <si>
    <t>MLTX</t>
  </si>
  <si>
    <t>ASR1</t>
  </si>
  <si>
    <t>WAS</t>
  </si>
  <si>
    <t>YNB1</t>
  </si>
  <si>
    <t>المدينة الصناعية الثانية بالرياض</t>
  </si>
  <si>
    <t>المدينة الصناعية الثالثة بالرياض</t>
  </si>
  <si>
    <t xml:space="preserve">المدينة الصناعية الاولى بالاحساء </t>
  </si>
  <si>
    <t>المدينة الصناعية الثانية بالدمام</t>
  </si>
  <si>
    <t>المدينة الصناعية الثانية بعسير</t>
  </si>
  <si>
    <t>المدينة الصناعية الثانية بالقصيم</t>
  </si>
  <si>
    <t>المدينة الصناعية الثالثة بجدة</t>
  </si>
  <si>
    <t>المدينة الصناعية الرابعة بجدة</t>
  </si>
  <si>
    <t>المدينة الصناعية الأولى بجدة</t>
  </si>
  <si>
    <t>المدينة الصناعية الثانية بمكة المكرمة</t>
  </si>
  <si>
    <t>المدينة الصناعية الثالثة بالدمام</t>
  </si>
  <si>
    <t>المدينة الصناعية الثانية بجدة</t>
  </si>
  <si>
    <t>المدينة الصناعية الاولى بسدير</t>
  </si>
  <si>
    <t>المدينة الصناعية بضرماء</t>
  </si>
  <si>
    <t>المدينة الصناعية بالخرج</t>
  </si>
  <si>
    <t xml:space="preserve">المدينة الصناعية الثالثة بالاحساء </t>
  </si>
  <si>
    <t>المدينة الصناعية الاولى بالمدينة المنورة</t>
  </si>
  <si>
    <t>المدينة الصناعية الاولى بالجوف</t>
  </si>
  <si>
    <t>المدينة الصناعية الثالثة بالقصيم</t>
  </si>
  <si>
    <t>المدينة الصناعية الاولى بالطائف</t>
  </si>
  <si>
    <t>المدينة الصناعية الاولى بحائل</t>
  </si>
  <si>
    <t>متعددة</t>
  </si>
  <si>
    <t>المدينة الصناعية الاولى بينبع</t>
  </si>
  <si>
    <t xml:space="preserve">وعد الشمال </t>
  </si>
  <si>
    <t>industrial City name</t>
  </si>
  <si>
    <t xml:space="preserve">City name </t>
  </si>
  <si>
    <t xml:space="preserve">الرياض </t>
  </si>
  <si>
    <t>عسير</t>
  </si>
  <si>
    <t>الدمام</t>
  </si>
  <si>
    <t>جدة</t>
  </si>
  <si>
    <t>مكة المكرمة</t>
  </si>
  <si>
    <t>الاحساء</t>
  </si>
  <si>
    <t>الخرج</t>
  </si>
  <si>
    <t>وعد الشمال</t>
  </si>
  <si>
    <t>ينبع</t>
  </si>
  <si>
    <t>متعدد</t>
  </si>
  <si>
    <t>حائل</t>
  </si>
  <si>
    <t>الطائف</t>
  </si>
  <si>
    <t>الجوف</t>
  </si>
  <si>
    <t>ضرماء</t>
  </si>
  <si>
    <t>المدينة المنورة</t>
  </si>
  <si>
    <t>سدير</t>
  </si>
  <si>
    <t>القصيم</t>
  </si>
  <si>
    <t>القطاع</t>
  </si>
  <si>
    <t>القطاع الاوسط</t>
  </si>
  <si>
    <t>القطاع الشرقي</t>
  </si>
  <si>
    <t>القطاع الغربي والجنوبي</t>
  </si>
  <si>
    <t>المدينة الصناعية الرابعة بالرياض</t>
  </si>
  <si>
    <t>RDH4</t>
  </si>
  <si>
    <t>X</t>
  </si>
  <si>
    <t>Y</t>
  </si>
  <si>
    <t>DAM1</t>
  </si>
  <si>
    <t>المدينة الصناعية  الاولى بالدمام</t>
  </si>
  <si>
    <t>مدير القطاع</t>
  </si>
  <si>
    <t>Department</t>
  </si>
  <si>
    <t>Department Manager</t>
  </si>
  <si>
    <t>Design</t>
  </si>
  <si>
    <t>Utilities</t>
  </si>
  <si>
    <t>Ahmed Al Otaibi</t>
  </si>
  <si>
    <t>Saad H. Alghamdi</t>
  </si>
  <si>
    <t>Execution</t>
  </si>
  <si>
    <t>Hisham G. Al Rasasi</t>
  </si>
  <si>
    <t>Project Category English</t>
  </si>
  <si>
    <t>Project Category Arabic</t>
  </si>
  <si>
    <t xml:space="preserve">Infrastructure </t>
  </si>
  <si>
    <t>مشاريع بنية تحتية</t>
  </si>
  <si>
    <t>Ready-Built Industrial Facilities</t>
  </si>
  <si>
    <t>RBF</t>
  </si>
  <si>
    <t xml:space="preserve">Design,Technical Support and Supervision Contract </t>
  </si>
  <si>
    <t>عقود اشراف على التنفيذ</t>
  </si>
  <si>
    <t xml:space="preserve"> Supervision Contract </t>
  </si>
  <si>
    <t>Business Development</t>
  </si>
  <si>
    <t>تطوير أعمال</t>
  </si>
  <si>
    <t>Supported Units</t>
  </si>
  <si>
    <t>مباني</t>
  </si>
  <si>
    <t>Building</t>
  </si>
  <si>
    <t xml:space="preserve">Technical Support Contract </t>
  </si>
  <si>
    <t>Low Process Unit</t>
  </si>
  <si>
    <t>عقود تصميم و دعم فني و اشراف على التنفيذ</t>
  </si>
  <si>
    <t>Road</t>
  </si>
  <si>
    <t xml:space="preserve">Design Contract </t>
  </si>
  <si>
    <t>Warehouse</t>
  </si>
  <si>
    <t>Master plan</t>
  </si>
  <si>
    <t>Multi-story Factory</t>
  </si>
  <si>
    <t>مصانع و مباني و منتجات جاهزة</t>
  </si>
  <si>
    <t>Electricity</t>
  </si>
  <si>
    <t>مرافق و خدمات - كهرباء</t>
  </si>
  <si>
    <t>مرافق و خدمات - مياة</t>
  </si>
  <si>
    <t>Services-Electricity</t>
  </si>
  <si>
    <t>Services-Water Development</t>
  </si>
  <si>
    <t>تخزين</t>
  </si>
  <si>
    <t>تصريف أمطار</t>
  </si>
  <si>
    <t>Water Supply</t>
  </si>
  <si>
    <t>Water Tank</t>
  </si>
  <si>
    <t>معالجة الصرف</t>
  </si>
  <si>
    <t>STP</t>
  </si>
  <si>
    <t>Water Supply, Tank</t>
  </si>
  <si>
    <t>تغذية + تخزين</t>
  </si>
  <si>
    <t>Water Supply (RO)</t>
  </si>
  <si>
    <t>Water Disposal</t>
  </si>
  <si>
    <t>تغذية</t>
  </si>
  <si>
    <t>تغذية (RO)</t>
  </si>
  <si>
    <t>Sub-Category English</t>
  </si>
  <si>
    <t>Sub-Category Arabic</t>
  </si>
  <si>
    <t>طرق</t>
  </si>
  <si>
    <t>مصانع جاهزه</t>
  </si>
  <si>
    <t>كهرباء</t>
  </si>
  <si>
    <t>وحدات مساندة</t>
  </si>
  <si>
    <t>عقود تصميم</t>
  </si>
  <si>
    <t>عقود دعم فني</t>
  </si>
  <si>
    <t>مخازن و مستودعات</t>
  </si>
  <si>
    <t>مخطط عام</t>
  </si>
  <si>
    <t>مصانع متعددة الادوار</t>
  </si>
  <si>
    <t>مباني الحرفيين</t>
  </si>
  <si>
    <t>ID  Initiative</t>
  </si>
  <si>
    <t>اسم المبادرة</t>
  </si>
  <si>
    <t>Fund Source</t>
  </si>
  <si>
    <t>NIS-01-01-062</t>
  </si>
  <si>
    <t>منتجات جاهزة لدعم رواد الأعمال وأصحاب المشاريع الصغيرة والمتوسطة</t>
  </si>
  <si>
    <t>NIS</t>
  </si>
  <si>
    <t>NIS-01-01-059</t>
  </si>
  <si>
    <t>استكمال اعمال البنية التحتية وتصريف مياه الامطار بالمدن الصناعية الثانية والثالثة بالدمام</t>
  </si>
  <si>
    <t>NIS-01-01-065</t>
  </si>
  <si>
    <t>تنفيذ اعمال البنية التحتية بمدينة حائل الصناعية</t>
  </si>
  <si>
    <t>NIS-01-01-064</t>
  </si>
  <si>
    <t>مبادرة الواحات الصناعية</t>
  </si>
  <si>
    <t>NIS-01-01-060</t>
  </si>
  <si>
    <t>استكمال اعمال البنية التحتية وتصريف مياه الامطار بالمدن الصناعية الاولى و الثانية والثالثة بجدة</t>
  </si>
  <si>
    <t>NIS-01-01-061</t>
  </si>
  <si>
    <t>استكمال اعمال البنية التحتية بالمدينة الصناعية بالخرج</t>
  </si>
  <si>
    <t>NIS-01-01-067</t>
  </si>
  <si>
    <t>استكمال أعمال البنية التحتية بالمدينة الصناعية بالمدينة المنورة</t>
  </si>
  <si>
    <t>NIS-01-01-057</t>
  </si>
  <si>
    <t>استكمال مشاريع البنية التحتية والمرافق للمدن الصناعية ( العكيشية ، مكة مكرمة2)</t>
  </si>
  <si>
    <t>NIS-02-02-224</t>
  </si>
  <si>
    <t>تجمع الصناعات الغذائية بالخرج</t>
  </si>
  <si>
    <t>NIS-01-01-063</t>
  </si>
  <si>
    <t>تأهيل واستكمال البنية التحتية بالمدينة الصناعية الثانية والثالثة بالرياض</t>
  </si>
  <si>
    <t>NIS-01-01-066</t>
  </si>
  <si>
    <t>استكمال اعمال البنية التحتية بالمرحلة الثانية والمنطقة اللوجستية بالمدينة الصناعية بسدير</t>
  </si>
  <si>
    <t>NIS-01-01-081</t>
  </si>
  <si>
    <t>تطوير البنى التحتية والمنتجات الجاهزة  في المدينة الصناعية الرابعة بالرياض</t>
  </si>
  <si>
    <t>NIS-01-01-058</t>
  </si>
  <si>
    <t>تطوير مدينة الطائف الصناعية</t>
  </si>
  <si>
    <t>1-18-052-0478</t>
  </si>
  <si>
    <t>تجمع الصناعات الغذائية  بجدة</t>
  </si>
  <si>
    <t>NIDLP</t>
  </si>
  <si>
    <t>1-18-052-0651</t>
  </si>
  <si>
    <t>1-18-127-1635</t>
  </si>
  <si>
    <t>إعادة تاهيل واستكمال البنية التحتية بالمدن الصناعية الثانية والثالثة بالرياض</t>
  </si>
  <si>
    <t>1-18-052-0352</t>
  </si>
  <si>
    <t>استكمال أعمال البنية التحتية وتصريف مياه الأمطار بالمدن الصناعية الثانية و الثالثة بالدمام</t>
  </si>
  <si>
    <t>1-18-127-1637</t>
  </si>
  <si>
    <t>إستكمال مشاريع البنية التحتية و المرافق للمدن الصناعية</t>
  </si>
  <si>
    <t>1-18-127-1636</t>
  </si>
  <si>
    <t>إستكمال أعمال البنية التحتية وتصريف مياه الأمطار بالمدن الصناعية الأولى و الثانيه والثالثه بجدة</t>
  </si>
  <si>
    <t>1-18-052-0354</t>
  </si>
  <si>
    <t>استكمال أعمال البنيه التحتيه بالمدينة الصناعية بالمدينة المنورة</t>
  </si>
  <si>
    <t>1-18-052-0353</t>
  </si>
  <si>
    <t>استكمال أعمال البنية بالمدينة الصناعية الثانية بالقصيم</t>
  </si>
  <si>
    <t>1-18-052-0466</t>
  </si>
  <si>
    <t>المنتجات الجاهزة لدعم رواد الأعمال و اصحاب المنشاءات الصغيرة و المتوسطة</t>
  </si>
  <si>
    <t>1-18-052-0577</t>
  </si>
  <si>
    <t>إيصال المياه للمدينة الصناعية بحائل</t>
  </si>
  <si>
    <t>1-18-052-0350</t>
  </si>
  <si>
    <t>استكمال أعمال البنية التحتية بالمرحله الثانيه والمنطقه اللوجستيه بالمدينه الصناعيه بسدير</t>
  </si>
  <si>
    <t>1-18-052-0349</t>
  </si>
  <si>
    <t>استكمال أعمال البنية التحتية بالمدينه الصناعيه بضرماء</t>
  </si>
  <si>
    <t>1-18-052-0541</t>
  </si>
  <si>
    <t>تطوير مدينة عسير الصناعية</t>
  </si>
  <si>
    <t>1-18-052-0348</t>
  </si>
  <si>
    <t>استكمال أعمال البنية التحتية بالمدينة الصناعية بالخرج</t>
  </si>
  <si>
    <t>1-18-052-0540</t>
  </si>
  <si>
    <t>Modon</t>
  </si>
  <si>
    <t>برنامج الإنتاجية الوطني</t>
  </si>
  <si>
    <t>1-18-052-0448</t>
  </si>
  <si>
    <t>منطقة رأس أبو قميص</t>
  </si>
  <si>
    <t>1-18-052-0671</t>
  </si>
  <si>
    <t>استثمار مدن المرحلة الاولى</t>
  </si>
  <si>
    <t>استثمار مدن المرحلة الثانية</t>
  </si>
  <si>
    <t>استثمار مدن المرحلة الثالثة</t>
  </si>
  <si>
    <t>Modon-001</t>
  </si>
  <si>
    <t>Modon-002</t>
  </si>
  <si>
    <t>Modon-003</t>
  </si>
  <si>
    <t>Fund source name</t>
  </si>
  <si>
    <t>Fund Source in Arabic</t>
  </si>
  <si>
    <t>ندلب</t>
  </si>
  <si>
    <t>مدن</t>
  </si>
  <si>
    <t>وزارة النقل</t>
  </si>
  <si>
    <t>Fund source in English</t>
  </si>
  <si>
    <t>الاستراتيجية الوطنية للصناعة</t>
  </si>
  <si>
    <t>ARR</t>
  </si>
  <si>
    <t>المدينة الصناعية بعرعر</t>
  </si>
  <si>
    <t>عرعر</t>
  </si>
  <si>
    <t>BAH1</t>
  </si>
  <si>
    <t>المدينة الصناعية الاولى بالباحة</t>
  </si>
  <si>
    <t>الباحة</t>
  </si>
  <si>
    <t>HFR1</t>
  </si>
  <si>
    <t>المدينة الصناعية بحفر الباطن</t>
  </si>
  <si>
    <t>حفر الباطن</t>
  </si>
  <si>
    <t>المنطة التقنية بالجنادرية</t>
  </si>
  <si>
    <t>JNDT</t>
  </si>
  <si>
    <t>المدينة الصناعية بجازان</t>
  </si>
  <si>
    <t>جازان</t>
  </si>
  <si>
    <t>JZN1</t>
  </si>
  <si>
    <t>NJR1</t>
  </si>
  <si>
    <t>نجران</t>
  </si>
  <si>
    <t>QSM1</t>
  </si>
  <si>
    <t>RDH1</t>
  </si>
  <si>
    <t>المدينة الصناعية الاولى بالقصيم</t>
  </si>
  <si>
    <t>المدينة الصناعية الاولى بالرياض</t>
  </si>
  <si>
    <t>SHQ</t>
  </si>
  <si>
    <t>المدينة الصناعية بشقراء</t>
  </si>
  <si>
    <t>شقراء</t>
  </si>
  <si>
    <t>TAB1</t>
  </si>
  <si>
    <t>الدينة الصناعية بتبوك</t>
  </si>
  <si>
    <t>تبوك</t>
  </si>
  <si>
    <t>ZLF1</t>
  </si>
  <si>
    <t>الدينة الصناعية بالزلفي</t>
  </si>
  <si>
    <t>الزلفي</t>
  </si>
  <si>
    <t>المنطة التقنية بالظهران</t>
  </si>
  <si>
    <t>المنطة التقنية بالدمام</t>
  </si>
  <si>
    <t>DHRT</t>
  </si>
  <si>
    <t>DAMT</t>
  </si>
  <si>
    <t>الظهران</t>
  </si>
  <si>
    <t>رابغ</t>
  </si>
  <si>
    <t>المدينة الصناعية برابغ</t>
  </si>
  <si>
    <t>RAB1</t>
  </si>
  <si>
    <t>ASFT</t>
  </si>
  <si>
    <t>KUMT</t>
  </si>
  <si>
    <t>المنطة التقنية بعسفان</t>
  </si>
  <si>
    <t>المنطة التقنية بالخمرة</t>
  </si>
  <si>
    <t>DRM1</t>
  </si>
  <si>
    <t>QWA</t>
  </si>
  <si>
    <t>القويعيه</t>
  </si>
  <si>
    <t>MKH1</t>
  </si>
  <si>
    <t>المدينة الصناعية الاولى بمكة المكرمة</t>
  </si>
  <si>
    <t>المدينة الصناعية الاولى بعسير</t>
  </si>
  <si>
    <t>Mid-Size RBF</t>
  </si>
  <si>
    <t xml:space="preserve">مصانع جاهزة متوسطه الحجم </t>
  </si>
  <si>
    <t>Budget</t>
  </si>
  <si>
    <t>1-18-052-2783</t>
  </si>
  <si>
    <t>تطوير مقر ريادة الاعمال (The Shop Floor)</t>
  </si>
  <si>
    <t>New-Clusters</t>
  </si>
  <si>
    <t>التجمعات الصناعية</t>
  </si>
  <si>
    <t>MOF</t>
  </si>
  <si>
    <t>وزارة المالية</t>
  </si>
  <si>
    <t>MTLS</t>
  </si>
  <si>
    <t>الصندوق الصناعي</t>
  </si>
  <si>
    <t>SIDF</t>
  </si>
  <si>
    <t>MOF-01</t>
  </si>
  <si>
    <t>اعانات وزارة المالية</t>
  </si>
  <si>
    <t>New-Clusters-01</t>
  </si>
  <si>
    <t>التجمعات الصناعية-01</t>
  </si>
  <si>
    <t>مبادة المناطق اللوجستية</t>
  </si>
  <si>
    <t>MTLS-01</t>
  </si>
  <si>
    <t>SIDF-01</t>
  </si>
  <si>
    <t>WAS-01</t>
  </si>
  <si>
    <t>تمويل مدن</t>
  </si>
  <si>
    <t>Modon-000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</si>
</sst>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color theme="1"/>
      <name val="TheSansArab Light"/>
      <family val="2"/>
    </font>
    <font>
      <b/>
      <sz val="10"/>
      <color theme="1"/>
      <name val="TheSansArab Light"/>
      <family val="2"/>
    </font>
    <font>
      <sz val="10"/>
      <color theme="1"/>
      <name val="TheSansArab Light"/>
      <family val="2"/>
    </font>
    <font>
      <sz val="10"/>
      <color theme="1"/>
      <name val="TheSansArab Light"/>
      <family val="2"/>
    </font>
    <font>
      <sz val="10"/>
      <color theme="1"/>
      <name val="TheSansArab Light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TheSansArabic Plain"/>
      <family val="2"/>
    </font>
    <font>
      <b/>
      <sz val="12"/>
      <color theme="4"/>
      <name val="TheSansArab Light"/>
      <family val="2"/>
    </font>
    <font>
      <b/>
      <sz val="10"/>
      <color theme="1"/>
      <name val="TheSansArab Light"/>
    </font>
    <font>
      <b/>
      <sz val="8"/>
      <color theme="1"/>
      <name val="TheSansArab Light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3" fontId="1" fillId="0" borderId="1" xfId="1" applyNumberFormat="1" applyFont="1" applyFill="1" applyBorder="1" applyAlignment="1">
      <alignment horizontal="center" vertical="center" wrapText="1"/>
    </xf>
    <xf numFmtId="43" fontId="5" fillId="0" borderId="1" xfId="1" applyNumberFormat="1" applyFont="1" applyFill="1" applyBorder="1" applyAlignment="1">
      <alignment horizontal="center" vertical="center" wrapText="1"/>
    </xf>
    <xf numFmtId="43" fontId="7" fillId="5" borderId="0" xfId="1" applyNumberFormat="1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9" fontId="5" fillId="0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Border="1"/>
    <xf numFmtId="3" fontId="0" fillId="0" borderId="0" xfId="0" applyNumberFormat="1" applyBorder="1"/>
    <xf numFmtId="0" fontId="1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 tint="0.39994506668294322"/>
      </font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39994506668294322"/>
      </font>
      <fill>
        <patternFill>
          <bgColor theme="5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</dxf>
    <dxf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numFmt numFmtId="35" formatCode="_(* #,##0.00_);_(* \(#,##0.00\);_(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8" tint="0.39997558519241921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eSansArab Light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ies" displayName="cities" ref="G2:M47" totalsRowShown="0" headerRowDxfId="38" dataDxfId="37" tableBorderDxfId="36">
  <autoFilter ref="G2:M47" xr:uid="{00000000-0009-0000-0100-000001000000}"/>
  <tableColumns count="7">
    <tableColumn id="1" xr3:uid="{00000000-0010-0000-0000-000001000000}" name="City Code" dataDxfId="35"/>
    <tableColumn id="2" xr3:uid="{00000000-0010-0000-0000-000002000000}" name="industrial City name" dataDxfId="34"/>
    <tableColumn id="3" xr3:uid="{00000000-0010-0000-0000-000003000000}" name="City name " dataDxfId="33"/>
    <tableColumn id="7" xr3:uid="{3B1CD747-CD75-4CED-B1F4-000595E49774}" name="مدير القطاع" dataDxfId="32"/>
    <tableColumn id="4" xr3:uid="{00000000-0010-0000-0000-000004000000}" name="القطاع" dataDxfId="31"/>
    <tableColumn id="5" xr3:uid="{00000000-0010-0000-0000-000005000000}" name="X" dataDxfId="30"/>
    <tableColumn id="6" xr3:uid="{00000000-0010-0000-0000-000006000000}" name="Y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94C24-48E4-4082-907B-AEFCF7B1AB7C}" name="Department" displayName="Department" ref="G4:H7" totalsRowShown="0" headerRowDxfId="28" dataDxfId="27" tableBorderDxfId="26">
  <autoFilter ref="G4:H7" xr:uid="{2CD567FD-8D9B-42B7-971E-773C6CAE7DFB}"/>
  <tableColumns count="2">
    <tableColumn id="1" xr3:uid="{FB365EE7-C113-4D2F-9091-009BB2275F0F}" name="Department" dataDxfId="25"/>
    <tableColumn id="2" xr3:uid="{D9606B22-E350-4A85-8B4C-3CB6EA8AE3C1}" name="Department Manager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D07DEB-6BB9-4A05-9EF1-9CA264F73691}" name="Category" displayName="Category" ref="J3:M24" totalsRowShown="0" dataDxfId="22" headerRowBorderDxfId="23" tableBorderDxfId="21" totalsRowBorderDxfId="20">
  <autoFilter ref="J3:M24" xr:uid="{C2DA2EC0-3B02-4EB3-BA8D-9E9B1FEA1C2E}"/>
  <tableColumns count="4">
    <tableColumn id="1" xr3:uid="{ADD9C75E-B3ED-4F6F-AF5F-76D8F6582C50}" name="Project Category English" dataDxfId="19" totalsRowDxfId="18" dataCellStyle="Comma"/>
    <tableColumn id="2" xr3:uid="{19052255-3A98-4D3A-9725-4772EF4C2DD7}" name="Project Category Arabic" dataDxfId="17" totalsRowDxfId="16"/>
    <tableColumn id="3" xr3:uid="{F4D5050D-1011-4BC7-B6C7-542593DFF832}" name="Sub-Category English" dataDxfId="15" totalsRowDxfId="14"/>
    <tableColumn id="4" xr3:uid="{1571F66E-CB3E-416A-B542-34AB468F1FD3}" name="Sub-Category Arabic" dataDxfId="13" totalsRow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DE1727-AD14-4097-ABCB-7913641A0ECE}" name="Maincategory" displayName="Maincategory" ref="J28:K34" totalsRowShown="0">
  <autoFilter ref="J28:K34" xr:uid="{D4F7A9A0-CCB5-4EC1-BE32-12573B62261B}"/>
  <tableColumns count="2">
    <tableColumn id="1" xr3:uid="{30915F2F-73E0-4992-ADA4-8177E137E4AB}" name="Project Category English"/>
    <tableColumn id="2" xr3:uid="{2C1269B3-B863-43AB-97DB-A702D0B4A32E}" name="Project Category 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5431B9-9499-4CC5-89C9-A394F8FDFC67}" name="Initiative" displayName="Initiative" ref="F4:I44" totalsRowShown="0">
  <autoFilter ref="F4:I44" xr:uid="{C0B79B3A-6B05-417D-8C10-B90891D25285}"/>
  <tableColumns count="4">
    <tableColumn id="1" xr3:uid="{BBFFF673-0C42-439B-A850-586E0158F6AA}" name="ID  Initiative"/>
    <tableColumn id="2" xr3:uid="{3A706B5E-CE7B-4E93-9B4C-A274B4499800}" name="اسم المبادرة"/>
    <tableColumn id="3" xr3:uid="{92D8AE45-6E0D-4DC7-B77D-F29DF9EE2425}" name="Fund Source"/>
    <tableColumn id="4" xr3:uid="{3DBEBCB8-D952-457D-AA54-ACB5CC7CD82A}" name="Budget" dataDxfId="11">
      <calculatedColumnFormula>SUBTOTAL(9,I8:I95)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1DB32-DD94-4BCA-BF67-4076B8B82A23}" name="Fundsource" displayName="Fundsource" ref="F50:I58" totalsRowShown="0" headerRowDxfId="10" dataDxfId="9" tableBorderDxfId="8">
  <autoFilter ref="F50:I58" xr:uid="{F0AD1F5F-810F-4486-BBE3-45E97DCB7F40}"/>
  <tableColumns count="4">
    <tableColumn id="1" xr3:uid="{DAB78E15-9CCF-4158-80AD-3C5BD99513B4}" name="Fund Source" dataDxfId="7"/>
    <tableColumn id="2" xr3:uid="{2EFD585B-EDFC-4119-9F2F-302E0958502A}" name="Fund source name" dataDxfId="6"/>
    <tableColumn id="3" xr3:uid="{4825A3B2-C4BD-4BF2-BE74-9E2B7D07CC46}" name="Fund source in English" dataDxfId="5"/>
    <tableColumn id="4" xr3:uid="{F273977D-02E7-4189-9483-F4C94C55AF94}" name="Fund Source in Arab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M47"/>
  <sheetViews>
    <sheetView topLeftCell="F1" workbookViewId="0">
      <selection activeCell="J17" sqref="J17"/>
    </sheetView>
  </sheetViews>
  <sheetFormatPr defaultRowHeight="14.4"/>
  <cols>
    <col min="7" max="7" width="14" customWidth="1"/>
    <col min="8" max="8" width="33.88671875" customWidth="1"/>
    <col min="9" max="10" width="14.44140625" customWidth="1"/>
    <col min="11" max="11" width="24.33203125" customWidth="1"/>
    <col min="12" max="13" width="12" bestFit="1" customWidth="1"/>
  </cols>
  <sheetData>
    <row r="2" spans="7:13">
      <c r="G2" s="1" t="s">
        <v>0</v>
      </c>
      <c r="H2" s="1" t="s">
        <v>49</v>
      </c>
      <c r="I2" s="1" t="s">
        <v>50</v>
      </c>
      <c r="J2" s="1" t="s">
        <v>78</v>
      </c>
      <c r="K2" s="1" t="s">
        <v>68</v>
      </c>
      <c r="L2" s="1" t="s">
        <v>74</v>
      </c>
      <c r="M2" s="1" t="s">
        <v>75</v>
      </c>
    </row>
    <row r="3" spans="7:13">
      <c r="G3" s="8" t="s">
        <v>1</v>
      </c>
      <c r="H3" s="11" t="s">
        <v>25</v>
      </c>
      <c r="I3" s="11" t="s">
        <v>51</v>
      </c>
      <c r="J3" s="11"/>
      <c r="K3" s="13" t="s">
        <v>69</v>
      </c>
      <c r="L3" s="15">
        <v>5220054.488721</v>
      </c>
      <c r="M3" s="15">
        <v>2820455.698777</v>
      </c>
    </row>
    <row r="4" spans="7:13">
      <c r="G4" s="8" t="s">
        <v>2</v>
      </c>
      <c r="H4" s="11" t="s">
        <v>27</v>
      </c>
      <c r="I4" s="10" t="s">
        <v>56</v>
      </c>
      <c r="J4" s="10"/>
      <c r="K4" s="2" t="s">
        <v>70</v>
      </c>
      <c r="L4" s="15">
        <v>5515655.842135</v>
      </c>
      <c r="M4" s="15">
        <v>2952823.0565269999</v>
      </c>
    </row>
    <row r="5" spans="7:13">
      <c r="G5" s="2" t="s">
        <v>3</v>
      </c>
      <c r="H5" s="11" t="s">
        <v>30</v>
      </c>
      <c r="I5" s="2" t="s">
        <v>67</v>
      </c>
      <c r="J5" s="13"/>
      <c r="K5" s="13" t="s">
        <v>69</v>
      </c>
      <c r="L5" s="15">
        <v>4914029.81501</v>
      </c>
      <c r="M5" s="15">
        <v>3026100.7946500001</v>
      </c>
    </row>
    <row r="6" spans="7:13">
      <c r="G6" s="2" t="s">
        <v>4</v>
      </c>
      <c r="H6" s="11" t="s">
        <v>29</v>
      </c>
      <c r="I6" s="10" t="s">
        <v>52</v>
      </c>
      <c r="J6" s="10"/>
      <c r="K6" s="2" t="s">
        <v>71</v>
      </c>
      <c r="L6" s="17">
        <v>4748790.7227109997</v>
      </c>
      <c r="M6" s="17">
        <v>2076817.5611920001</v>
      </c>
    </row>
    <row r="7" spans="7:13">
      <c r="G7" s="3" t="s">
        <v>5</v>
      </c>
      <c r="H7" s="11" t="s">
        <v>28</v>
      </c>
      <c r="I7" s="10" t="s">
        <v>53</v>
      </c>
      <c r="J7" s="10"/>
      <c r="K7" s="2" t="s">
        <v>70</v>
      </c>
      <c r="L7" s="15">
        <v>5560760.8693530001</v>
      </c>
      <c r="M7" s="15">
        <v>2990581.6424420001</v>
      </c>
    </row>
    <row r="8" spans="7:13">
      <c r="G8" s="2" t="s">
        <v>6</v>
      </c>
      <c r="H8" s="11" t="s">
        <v>31</v>
      </c>
      <c r="I8" s="10" t="s">
        <v>54</v>
      </c>
      <c r="J8" s="10"/>
      <c r="K8" s="2" t="s">
        <v>71</v>
      </c>
      <c r="L8" s="15">
        <v>4382076.8414019998</v>
      </c>
      <c r="M8" s="15">
        <v>2408787.1217459999</v>
      </c>
    </row>
    <row r="9" spans="7:13">
      <c r="G9" s="2" t="s">
        <v>7</v>
      </c>
      <c r="H9" s="11" t="s">
        <v>32</v>
      </c>
      <c r="I9" s="10" t="s">
        <v>54</v>
      </c>
      <c r="J9" s="10"/>
      <c r="K9" s="2" t="s">
        <v>71</v>
      </c>
      <c r="L9" s="15">
        <v>4373530.3861370003</v>
      </c>
      <c r="M9" s="15">
        <v>2499641.7387629999</v>
      </c>
    </row>
    <row r="10" spans="7:13">
      <c r="G10" s="4" t="s">
        <v>8</v>
      </c>
      <c r="H10" s="11" t="s">
        <v>33</v>
      </c>
      <c r="I10" s="10" t="s">
        <v>54</v>
      </c>
      <c r="J10" s="10"/>
      <c r="K10" s="2" t="s">
        <v>71</v>
      </c>
      <c r="L10" s="15">
        <v>4366940.223282</v>
      </c>
      <c r="M10" s="15">
        <v>2441801.1019660002</v>
      </c>
    </row>
    <row r="11" spans="7:13">
      <c r="G11" s="5" t="s">
        <v>9</v>
      </c>
      <c r="H11" s="11" t="s">
        <v>34</v>
      </c>
      <c r="I11" s="10" t="s">
        <v>55</v>
      </c>
      <c r="J11" s="10"/>
      <c r="K11" s="2" t="s">
        <v>71</v>
      </c>
      <c r="L11" s="16">
        <v>4429503.1925140005</v>
      </c>
      <c r="M11" s="16">
        <v>2450560.2527330001</v>
      </c>
    </row>
    <row r="12" spans="7:13">
      <c r="G12" s="6" t="s">
        <v>10</v>
      </c>
      <c r="H12" s="11" t="s">
        <v>35</v>
      </c>
      <c r="I12" s="10" t="s">
        <v>53</v>
      </c>
      <c r="J12" s="10"/>
      <c r="K12" s="2" t="s">
        <v>70</v>
      </c>
      <c r="L12" s="15">
        <v>5562998.8178989999</v>
      </c>
      <c r="M12" s="15">
        <v>3030870.4892870001</v>
      </c>
    </row>
    <row r="13" spans="7:13">
      <c r="G13" s="2" t="s">
        <v>11</v>
      </c>
      <c r="H13" s="11" t="s">
        <v>36</v>
      </c>
      <c r="I13" s="10" t="s">
        <v>54</v>
      </c>
      <c r="J13" s="10"/>
      <c r="K13" s="2" t="s">
        <v>71</v>
      </c>
      <c r="L13" s="15">
        <v>4368949.1672980003</v>
      </c>
      <c r="M13" s="15">
        <v>2404967.8355459999</v>
      </c>
    </row>
    <row r="14" spans="7:13">
      <c r="G14" s="2" t="s">
        <v>12</v>
      </c>
      <c r="H14" s="11" t="s">
        <v>37</v>
      </c>
      <c r="I14" s="10" t="s">
        <v>66</v>
      </c>
      <c r="J14" s="11"/>
      <c r="K14" s="13" t="s">
        <v>69</v>
      </c>
      <c r="L14" s="15">
        <v>5094393.6621000003</v>
      </c>
      <c r="M14" s="15">
        <v>2956884.5678900001</v>
      </c>
    </row>
    <row r="15" spans="7:13">
      <c r="G15" s="4" t="s">
        <v>13</v>
      </c>
      <c r="H15" s="11" t="s">
        <v>41</v>
      </c>
      <c r="I15" s="10" t="s">
        <v>65</v>
      </c>
      <c r="J15" s="10"/>
      <c r="K15" s="2" t="s">
        <v>71</v>
      </c>
      <c r="L15" s="15">
        <v>4401237.0982689997</v>
      </c>
      <c r="M15" s="15">
        <v>2789138.5427529998</v>
      </c>
    </row>
    <row r="16" spans="7:13">
      <c r="G16" s="2" t="s">
        <v>257</v>
      </c>
      <c r="H16" s="10" t="s">
        <v>38</v>
      </c>
      <c r="I16" s="10" t="s">
        <v>64</v>
      </c>
      <c r="J16" s="11"/>
      <c r="K16" s="13" t="s">
        <v>69</v>
      </c>
      <c r="L16" s="15">
        <v>5128003.8069660002</v>
      </c>
      <c r="M16" s="15">
        <v>2839227.2352390001</v>
      </c>
    </row>
    <row r="17" spans="7:13">
      <c r="G17" s="2" t="s">
        <v>14</v>
      </c>
      <c r="H17" s="10" t="s">
        <v>39</v>
      </c>
      <c r="I17" s="10" t="s">
        <v>57</v>
      </c>
      <c r="J17" s="11"/>
      <c r="K17" s="13" t="s">
        <v>69</v>
      </c>
      <c r="L17" s="15">
        <v>5261177.6303289998</v>
      </c>
      <c r="M17" s="15">
        <v>2737605.198382</v>
      </c>
    </row>
    <row r="18" spans="7:13">
      <c r="G18" s="2" t="s">
        <v>15</v>
      </c>
      <c r="H18" s="11" t="s">
        <v>26</v>
      </c>
      <c r="I18" s="11" t="s">
        <v>51</v>
      </c>
      <c r="J18" s="11"/>
      <c r="K18" s="13" t="s">
        <v>69</v>
      </c>
      <c r="L18" s="15">
        <v>5217782.9119920004</v>
      </c>
      <c r="M18" s="15">
        <v>2803328.4535349999</v>
      </c>
    </row>
    <row r="19" spans="7:13">
      <c r="G19" s="2" t="s">
        <v>16</v>
      </c>
      <c r="H19" s="11" t="s">
        <v>40</v>
      </c>
      <c r="I19" s="10" t="s">
        <v>56</v>
      </c>
      <c r="J19" s="10"/>
      <c r="K19" s="2" t="s">
        <v>70</v>
      </c>
      <c r="L19" s="15">
        <v>5515640.5589100001</v>
      </c>
      <c r="M19" s="15">
        <v>2908353.454527</v>
      </c>
    </row>
    <row r="20" spans="7:13">
      <c r="G20" s="4" t="s">
        <v>17</v>
      </c>
      <c r="H20" s="11" t="s">
        <v>42</v>
      </c>
      <c r="I20" s="10" t="s">
        <v>63</v>
      </c>
      <c r="J20" s="10"/>
      <c r="K20" s="2" t="s">
        <v>70</v>
      </c>
      <c r="L20" s="15">
        <v>4450844.4179370003</v>
      </c>
      <c r="M20" s="15">
        <v>3475154.3374379999</v>
      </c>
    </row>
    <row r="21" spans="7:13">
      <c r="G21" s="4" t="s">
        <v>18</v>
      </c>
      <c r="H21" s="11" t="s">
        <v>43</v>
      </c>
      <c r="I21" s="2" t="s">
        <v>67</v>
      </c>
      <c r="J21" s="13"/>
      <c r="K21" s="13" t="s">
        <v>69</v>
      </c>
      <c r="L21" s="15">
        <v>4899947.0384769998</v>
      </c>
      <c r="M21" s="15">
        <v>3029970.285563</v>
      </c>
    </row>
    <row r="22" spans="7:13">
      <c r="G22" s="2" t="s">
        <v>19</v>
      </c>
      <c r="H22" s="11" t="s">
        <v>44</v>
      </c>
      <c r="I22" s="10" t="s">
        <v>62</v>
      </c>
      <c r="J22" s="10"/>
      <c r="K22" s="2" t="s">
        <v>71</v>
      </c>
      <c r="L22" s="15">
        <v>4500642.6659530001</v>
      </c>
      <c r="M22" s="15">
        <v>2422985.4854549998</v>
      </c>
    </row>
    <row r="23" spans="7:13">
      <c r="G23" s="7" t="s">
        <v>20</v>
      </c>
      <c r="H23" s="11" t="s">
        <v>45</v>
      </c>
      <c r="I23" s="10" t="s">
        <v>61</v>
      </c>
      <c r="J23" s="11"/>
      <c r="K23" s="13" t="s">
        <v>69</v>
      </c>
      <c r="L23" s="15">
        <v>4653191.0548480004</v>
      </c>
      <c r="M23" s="15">
        <v>3182465.033237</v>
      </c>
    </row>
    <row r="24" spans="7:13">
      <c r="G24" s="7" t="s">
        <v>21</v>
      </c>
      <c r="H24" s="10" t="s">
        <v>46</v>
      </c>
      <c r="I24" s="10" t="s">
        <v>60</v>
      </c>
      <c r="J24" s="10"/>
      <c r="K24" s="2" t="s">
        <v>60</v>
      </c>
      <c r="L24" s="2">
        <v>0</v>
      </c>
      <c r="M24" s="2">
        <v>0</v>
      </c>
    </row>
    <row r="25" spans="7:13">
      <c r="G25" s="2" t="s">
        <v>22</v>
      </c>
      <c r="H25" s="13" t="s">
        <v>262</v>
      </c>
      <c r="I25" s="10" t="s">
        <v>52</v>
      </c>
      <c r="J25" s="10"/>
      <c r="K25" s="2" t="s">
        <v>71</v>
      </c>
      <c r="L25" s="17">
        <v>4567140.555776</v>
      </c>
      <c r="M25" s="17">
        <v>3629015.3494210001</v>
      </c>
    </row>
    <row r="26" spans="7:13">
      <c r="G26" s="2" t="s">
        <v>23</v>
      </c>
      <c r="H26" s="10" t="s">
        <v>48</v>
      </c>
      <c r="I26" s="10" t="s">
        <v>58</v>
      </c>
      <c r="J26" s="10"/>
      <c r="K26" s="19" t="s">
        <v>70</v>
      </c>
      <c r="L26" s="15">
        <v>4335288.4646469997</v>
      </c>
      <c r="M26" s="15">
        <v>3725960.8846840002</v>
      </c>
    </row>
    <row r="27" spans="7:13">
      <c r="G27" s="9" t="s">
        <v>24</v>
      </c>
      <c r="H27" s="11" t="s">
        <v>47</v>
      </c>
      <c r="I27" s="12" t="s">
        <v>59</v>
      </c>
      <c r="J27" s="12"/>
      <c r="K27" s="2" t="s">
        <v>71</v>
      </c>
      <c r="L27" s="15">
        <v>4236216.4931849996</v>
      </c>
      <c r="M27" s="15">
        <v>2773404.0654910002</v>
      </c>
    </row>
    <row r="28" spans="7:13">
      <c r="G28" s="14" t="s">
        <v>73</v>
      </c>
      <c r="H28" s="13" t="s">
        <v>72</v>
      </c>
      <c r="I28" s="11" t="s">
        <v>51</v>
      </c>
      <c r="J28" s="11"/>
      <c r="K28" s="13" t="s">
        <v>69</v>
      </c>
      <c r="L28" s="9">
        <v>0</v>
      </c>
      <c r="M28" s="9">
        <v>0</v>
      </c>
    </row>
    <row r="29" spans="7:13">
      <c r="G29" s="18" t="s">
        <v>76</v>
      </c>
      <c r="H29" s="19" t="s">
        <v>77</v>
      </c>
      <c r="I29" s="19" t="s">
        <v>53</v>
      </c>
      <c r="J29" s="19"/>
      <c r="K29" s="19" t="s">
        <v>70</v>
      </c>
      <c r="L29" s="9">
        <v>0</v>
      </c>
      <c r="M29" s="9">
        <v>0</v>
      </c>
    </row>
    <row r="30" spans="7:13">
      <c r="G30" s="19" t="s">
        <v>216</v>
      </c>
      <c r="H30" s="2" t="s">
        <v>217</v>
      </c>
      <c r="I30" s="19" t="s">
        <v>218</v>
      </c>
      <c r="J30" s="9"/>
      <c r="K30" s="19" t="s">
        <v>70</v>
      </c>
      <c r="L30" s="19"/>
      <c r="M30" s="19"/>
    </row>
    <row r="31" spans="7:13">
      <c r="G31" s="19" t="s">
        <v>219</v>
      </c>
      <c r="H31" s="19" t="s">
        <v>220</v>
      </c>
      <c r="I31" s="19" t="s">
        <v>221</v>
      </c>
      <c r="J31" s="9"/>
      <c r="K31" s="2" t="s">
        <v>71</v>
      </c>
      <c r="L31" s="19"/>
      <c r="M31" s="19"/>
    </row>
    <row r="32" spans="7:13">
      <c r="G32" s="19" t="s">
        <v>222</v>
      </c>
      <c r="H32" s="19" t="s">
        <v>223</v>
      </c>
      <c r="I32" s="19" t="s">
        <v>224</v>
      </c>
      <c r="J32" s="9"/>
      <c r="K32" s="19" t="s">
        <v>70</v>
      </c>
      <c r="L32" s="19"/>
      <c r="M32" s="19"/>
    </row>
    <row r="33" spans="7:13">
      <c r="G33" s="19" t="s">
        <v>226</v>
      </c>
      <c r="H33" s="19" t="s">
        <v>225</v>
      </c>
      <c r="I33" s="19" t="s">
        <v>51</v>
      </c>
      <c r="J33" s="9"/>
      <c r="K33" s="13" t="s">
        <v>69</v>
      </c>
      <c r="L33" s="19"/>
      <c r="M33" s="19"/>
    </row>
    <row r="34" spans="7:13">
      <c r="G34" s="21" t="s">
        <v>229</v>
      </c>
      <c r="H34" s="19" t="s">
        <v>227</v>
      </c>
      <c r="I34" s="19" t="s">
        <v>228</v>
      </c>
      <c r="J34" s="9"/>
      <c r="K34" s="2" t="s">
        <v>71</v>
      </c>
      <c r="L34" s="19"/>
      <c r="M34" s="19"/>
    </row>
    <row r="35" spans="7:13">
      <c r="G35" s="19" t="s">
        <v>230</v>
      </c>
      <c r="H35" s="19" t="s">
        <v>227</v>
      </c>
      <c r="I35" s="19" t="s">
        <v>231</v>
      </c>
      <c r="J35" s="9"/>
      <c r="K35" s="2" t="s">
        <v>71</v>
      </c>
      <c r="L35" s="19"/>
      <c r="M35" s="19"/>
    </row>
    <row r="36" spans="7:13">
      <c r="G36" s="18" t="s">
        <v>232</v>
      </c>
      <c r="H36" s="13" t="s">
        <v>234</v>
      </c>
      <c r="I36" s="2" t="s">
        <v>67</v>
      </c>
      <c r="J36" s="9"/>
      <c r="K36" s="13" t="s">
        <v>69</v>
      </c>
      <c r="L36" s="19"/>
      <c r="M36" s="19"/>
    </row>
    <row r="37" spans="7:13">
      <c r="G37" s="31" t="s">
        <v>233</v>
      </c>
      <c r="H37" s="13" t="s">
        <v>235</v>
      </c>
      <c r="I37" s="19" t="s">
        <v>51</v>
      </c>
      <c r="J37" s="9"/>
      <c r="K37" s="13" t="s">
        <v>69</v>
      </c>
      <c r="L37" s="19"/>
      <c r="M37" s="19"/>
    </row>
    <row r="38" spans="7:13">
      <c r="G38" s="18" t="s">
        <v>236</v>
      </c>
      <c r="H38" s="19" t="s">
        <v>237</v>
      </c>
      <c r="I38" s="19" t="s">
        <v>238</v>
      </c>
      <c r="J38" s="9"/>
      <c r="K38" s="13" t="s">
        <v>69</v>
      </c>
      <c r="L38" s="19"/>
      <c r="M38" s="19"/>
    </row>
    <row r="39" spans="7:13">
      <c r="G39" s="19" t="s">
        <v>239</v>
      </c>
      <c r="H39" s="19" t="s">
        <v>240</v>
      </c>
      <c r="I39" s="19" t="s">
        <v>241</v>
      </c>
      <c r="J39" s="9"/>
      <c r="K39" s="2" t="s">
        <v>71</v>
      </c>
      <c r="L39" s="19"/>
      <c r="M39" s="19"/>
    </row>
    <row r="40" spans="7:13">
      <c r="G40" s="19" t="s">
        <v>242</v>
      </c>
      <c r="H40" s="19" t="s">
        <v>243</v>
      </c>
      <c r="I40" s="19" t="s">
        <v>244</v>
      </c>
      <c r="J40" s="9"/>
      <c r="K40" s="13" t="s">
        <v>69</v>
      </c>
      <c r="L40" s="19"/>
      <c r="M40" s="19"/>
    </row>
    <row r="41" spans="7:13">
      <c r="G41" s="19" t="s">
        <v>247</v>
      </c>
      <c r="H41" s="19" t="s">
        <v>245</v>
      </c>
      <c r="I41" s="19" t="s">
        <v>249</v>
      </c>
      <c r="J41" s="9"/>
      <c r="K41" s="19" t="s">
        <v>70</v>
      </c>
      <c r="L41" s="19"/>
      <c r="M41" s="19"/>
    </row>
    <row r="42" spans="7:13">
      <c r="G42" s="18" t="s">
        <v>248</v>
      </c>
      <c r="H42" s="19" t="s">
        <v>246</v>
      </c>
      <c r="I42" s="19" t="s">
        <v>53</v>
      </c>
      <c r="J42" s="9"/>
      <c r="K42" s="19" t="s">
        <v>70</v>
      </c>
      <c r="L42" s="19"/>
      <c r="M42" s="19"/>
    </row>
    <row r="43" spans="7:13">
      <c r="G43" s="19" t="s">
        <v>252</v>
      </c>
      <c r="H43" s="19" t="s">
        <v>251</v>
      </c>
      <c r="I43" s="19" t="s">
        <v>250</v>
      </c>
      <c r="J43" s="9"/>
      <c r="K43" s="2" t="s">
        <v>71</v>
      </c>
      <c r="L43" s="19"/>
      <c r="M43" s="19"/>
    </row>
    <row r="44" spans="7:13">
      <c r="G44" s="19" t="s">
        <v>253</v>
      </c>
      <c r="H44" s="19" t="s">
        <v>255</v>
      </c>
      <c r="I44" s="19" t="s">
        <v>54</v>
      </c>
      <c r="J44" s="9"/>
      <c r="K44" s="2" t="s">
        <v>71</v>
      </c>
      <c r="L44" s="19"/>
      <c r="M44" s="19"/>
    </row>
    <row r="45" spans="7:13">
      <c r="G45" s="19" t="s">
        <v>254</v>
      </c>
      <c r="H45" s="19" t="s">
        <v>256</v>
      </c>
      <c r="I45" s="19" t="s">
        <v>54</v>
      </c>
      <c r="J45" s="9"/>
      <c r="K45" s="2" t="s">
        <v>71</v>
      </c>
      <c r="L45" s="19"/>
      <c r="M45" s="19"/>
    </row>
    <row r="46" spans="7:13">
      <c r="G46" s="19" t="s">
        <v>258</v>
      </c>
      <c r="H46" s="19" t="s">
        <v>259</v>
      </c>
      <c r="I46" s="19" t="s">
        <v>259</v>
      </c>
      <c r="J46" s="9"/>
      <c r="K46" s="13" t="s">
        <v>69</v>
      </c>
      <c r="L46" s="19"/>
      <c r="M46" s="19"/>
    </row>
    <row r="47" spans="7:13">
      <c r="G47" s="32" t="s">
        <v>260</v>
      </c>
      <c r="H47" s="19" t="s">
        <v>261</v>
      </c>
      <c r="I47" s="19" t="s">
        <v>55</v>
      </c>
      <c r="J47" s="9"/>
      <c r="K47" s="19" t="s">
        <v>71</v>
      </c>
      <c r="L47" s="33"/>
      <c r="M47" s="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74F7-0ADC-4A09-8A77-5F39715E1C69}">
  <dimension ref="G4:H7"/>
  <sheetViews>
    <sheetView workbookViewId="0">
      <selection activeCell="G7" sqref="G7"/>
    </sheetView>
  </sheetViews>
  <sheetFormatPr defaultRowHeight="14.4"/>
  <cols>
    <col min="7" max="7" width="40.109375" customWidth="1"/>
    <col min="8" max="8" width="28" customWidth="1"/>
  </cols>
  <sheetData>
    <row r="4" spans="7:8">
      <c r="G4" s="1" t="s">
        <v>79</v>
      </c>
      <c r="H4" s="1" t="s">
        <v>80</v>
      </c>
    </row>
    <row r="5" spans="7:8">
      <c r="G5" s="6" t="s">
        <v>81</v>
      </c>
      <c r="H5" s="20" t="s">
        <v>86</v>
      </c>
    </row>
    <row r="6" spans="7:8">
      <c r="G6" s="6" t="s">
        <v>82</v>
      </c>
      <c r="H6" s="20" t="s">
        <v>83</v>
      </c>
    </row>
    <row r="7" spans="7:8">
      <c r="G7" s="6" t="s">
        <v>85</v>
      </c>
      <c r="H7" s="20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4E8B-6765-42F8-BB42-504B519FADD3}">
  <dimension ref="J3:M34"/>
  <sheetViews>
    <sheetView topLeftCell="A10" workbookViewId="0">
      <selection activeCell="L26" sqref="L26"/>
    </sheetView>
  </sheetViews>
  <sheetFormatPr defaultRowHeight="14.4"/>
  <cols>
    <col min="10" max="10" width="46.109375" bestFit="1" customWidth="1"/>
    <col min="11" max="11" width="22.88671875" customWidth="1"/>
    <col min="12" max="12" width="24.88671875" bestFit="1" customWidth="1"/>
    <col min="13" max="13" width="21.21875" customWidth="1"/>
  </cols>
  <sheetData>
    <row r="3" spans="10:13" ht="27.6" customHeight="1">
      <c r="J3" s="24" t="s">
        <v>87</v>
      </c>
      <c r="K3" s="25" t="s">
        <v>88</v>
      </c>
      <c r="L3" s="25" t="s">
        <v>127</v>
      </c>
      <c r="M3" s="26" t="s">
        <v>128</v>
      </c>
    </row>
    <row r="4" spans="10:13">
      <c r="J4" s="22" t="s">
        <v>89</v>
      </c>
      <c r="K4" s="6" t="s">
        <v>90</v>
      </c>
      <c r="L4" s="28" t="s">
        <v>104</v>
      </c>
      <c r="M4" s="28" t="s">
        <v>129</v>
      </c>
    </row>
    <row r="5" spans="10:13" ht="26.4">
      <c r="J5" s="22" t="s">
        <v>91</v>
      </c>
      <c r="K5" s="6" t="s">
        <v>109</v>
      </c>
      <c r="L5" s="6" t="s">
        <v>92</v>
      </c>
      <c r="M5" s="28" t="s">
        <v>130</v>
      </c>
    </row>
    <row r="6" spans="10:13">
      <c r="J6" s="22" t="s">
        <v>113</v>
      </c>
      <c r="K6" s="6" t="s">
        <v>111</v>
      </c>
      <c r="L6" s="6" t="s">
        <v>110</v>
      </c>
      <c r="M6" s="28" t="s">
        <v>131</v>
      </c>
    </row>
    <row r="7" spans="10:13" ht="26.4">
      <c r="J7" s="22" t="s">
        <v>93</v>
      </c>
      <c r="K7" s="6" t="s">
        <v>103</v>
      </c>
      <c r="L7" s="6" t="s">
        <v>95</v>
      </c>
      <c r="M7" s="28" t="s">
        <v>94</v>
      </c>
    </row>
    <row r="8" spans="10:13">
      <c r="J8" s="23" t="s">
        <v>96</v>
      </c>
      <c r="K8" s="21" t="s">
        <v>97</v>
      </c>
      <c r="L8" s="21" t="s">
        <v>96</v>
      </c>
      <c r="M8" s="21" t="s">
        <v>97</v>
      </c>
    </row>
    <row r="9" spans="10:13">
      <c r="J9" s="23" t="s">
        <v>89</v>
      </c>
      <c r="K9" s="21" t="s">
        <v>90</v>
      </c>
      <c r="L9" s="28" t="s">
        <v>89</v>
      </c>
      <c r="M9" s="21" t="s">
        <v>90</v>
      </c>
    </row>
    <row r="10" spans="10:13" ht="26.4">
      <c r="J10" s="23" t="s">
        <v>91</v>
      </c>
      <c r="K10" s="21" t="s">
        <v>109</v>
      </c>
      <c r="L10" s="28" t="s">
        <v>100</v>
      </c>
      <c r="M10" s="28" t="s">
        <v>99</v>
      </c>
    </row>
    <row r="11" spans="10:13" ht="26.4">
      <c r="J11" s="23" t="s">
        <v>91</v>
      </c>
      <c r="K11" s="21" t="s">
        <v>109</v>
      </c>
      <c r="L11" s="28" t="s">
        <v>98</v>
      </c>
      <c r="M11" s="28" t="s">
        <v>132</v>
      </c>
    </row>
    <row r="12" spans="10:13" ht="26.4">
      <c r="J12" s="23" t="s">
        <v>93</v>
      </c>
      <c r="K12" s="21" t="s">
        <v>103</v>
      </c>
      <c r="L12" s="28" t="s">
        <v>105</v>
      </c>
      <c r="M12" s="28" t="s">
        <v>133</v>
      </c>
    </row>
    <row r="13" spans="10:13" ht="26.4">
      <c r="J13" s="23" t="s">
        <v>93</v>
      </c>
      <c r="K13" s="21" t="s">
        <v>103</v>
      </c>
      <c r="L13" s="28" t="s">
        <v>101</v>
      </c>
      <c r="M13" s="28" t="s">
        <v>134</v>
      </c>
    </row>
    <row r="14" spans="10:13" ht="26.4">
      <c r="J14" s="23" t="s">
        <v>91</v>
      </c>
      <c r="K14" s="21" t="s">
        <v>109</v>
      </c>
      <c r="L14" s="28" t="s">
        <v>106</v>
      </c>
      <c r="M14" s="28" t="s">
        <v>135</v>
      </c>
    </row>
    <row r="15" spans="10:13">
      <c r="J15" s="23" t="s">
        <v>89</v>
      </c>
      <c r="K15" s="21" t="s">
        <v>90</v>
      </c>
      <c r="L15" s="28" t="s">
        <v>107</v>
      </c>
      <c r="M15" s="28" t="s">
        <v>136</v>
      </c>
    </row>
    <row r="16" spans="10:13" ht="26.4">
      <c r="J16" s="23" t="s">
        <v>91</v>
      </c>
      <c r="K16" s="21" t="s">
        <v>109</v>
      </c>
      <c r="L16" s="28" t="s">
        <v>108</v>
      </c>
      <c r="M16" s="28" t="s">
        <v>137</v>
      </c>
    </row>
    <row r="17" spans="10:13" ht="26.4">
      <c r="J17" s="23" t="s">
        <v>91</v>
      </c>
      <c r="K17" s="21" t="s">
        <v>109</v>
      </c>
      <c r="L17" s="28" t="s">
        <v>102</v>
      </c>
      <c r="M17" s="28" t="s">
        <v>138</v>
      </c>
    </row>
    <row r="18" spans="10:13" ht="26.4">
      <c r="J18" s="23" t="s">
        <v>114</v>
      </c>
      <c r="K18" s="21" t="s">
        <v>112</v>
      </c>
      <c r="L18" s="21" t="s">
        <v>121</v>
      </c>
      <c r="M18" s="28" t="s">
        <v>122</v>
      </c>
    </row>
    <row r="19" spans="10:13" ht="26.4">
      <c r="J19" s="23" t="s">
        <v>114</v>
      </c>
      <c r="K19" s="21" t="s">
        <v>112</v>
      </c>
      <c r="L19" s="21" t="s">
        <v>118</v>
      </c>
      <c r="M19" s="27" t="s">
        <v>115</v>
      </c>
    </row>
    <row r="20" spans="10:13" ht="26.4">
      <c r="J20" s="23" t="s">
        <v>114</v>
      </c>
      <c r="K20" s="21" t="s">
        <v>112</v>
      </c>
      <c r="L20" s="21" t="s">
        <v>117</v>
      </c>
      <c r="M20" s="28" t="s">
        <v>125</v>
      </c>
    </row>
    <row r="21" spans="10:13" ht="26.4">
      <c r="J21" s="23" t="s">
        <v>114</v>
      </c>
      <c r="K21" s="21" t="s">
        <v>112</v>
      </c>
      <c r="L21" s="21" t="s">
        <v>120</v>
      </c>
      <c r="M21" s="28" t="s">
        <v>119</v>
      </c>
    </row>
    <row r="22" spans="10:13" ht="26.4">
      <c r="J22" s="23" t="s">
        <v>114</v>
      </c>
      <c r="K22" s="21" t="s">
        <v>112</v>
      </c>
      <c r="L22" s="21" t="s">
        <v>123</v>
      </c>
      <c r="M22" s="28" t="s">
        <v>126</v>
      </c>
    </row>
    <row r="23" spans="10:13" ht="26.4">
      <c r="J23" s="23" t="s">
        <v>114</v>
      </c>
      <c r="K23" s="21" t="s">
        <v>112</v>
      </c>
      <c r="L23" s="21" t="s">
        <v>124</v>
      </c>
      <c r="M23" s="28" t="s">
        <v>116</v>
      </c>
    </row>
    <row r="24" spans="10:13">
      <c r="J24" s="23" t="s">
        <v>91</v>
      </c>
      <c r="K24" s="21" t="s">
        <v>109</v>
      </c>
      <c r="L24" s="18" t="s">
        <v>263</v>
      </c>
      <c r="M24" s="34" t="s">
        <v>264</v>
      </c>
    </row>
    <row r="28" spans="10:13">
      <c r="J28" t="s">
        <v>87</v>
      </c>
      <c r="K28" t="s">
        <v>88</v>
      </c>
    </row>
    <row r="29" spans="10:13">
      <c r="J29" t="s">
        <v>89</v>
      </c>
      <c r="K29" t="s">
        <v>90</v>
      </c>
    </row>
    <row r="30" spans="10:13">
      <c r="J30" t="s">
        <v>113</v>
      </c>
      <c r="K30" t="s">
        <v>111</v>
      </c>
    </row>
    <row r="31" spans="10:13">
      <c r="J31" t="s">
        <v>96</v>
      </c>
      <c r="K31" t="s">
        <v>97</v>
      </c>
    </row>
    <row r="32" spans="10:13">
      <c r="J32" t="s">
        <v>93</v>
      </c>
      <c r="K32" t="s">
        <v>103</v>
      </c>
    </row>
    <row r="33" spans="10:11">
      <c r="J33" t="s">
        <v>91</v>
      </c>
      <c r="K33" t="s">
        <v>109</v>
      </c>
    </row>
    <row r="34" spans="10:11">
      <c r="J34" t="s">
        <v>114</v>
      </c>
      <c r="K34" t="s">
        <v>112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5327-01F0-442A-B697-C7C8F6B957A4}">
  <dimension ref="F4:I58"/>
  <sheetViews>
    <sheetView tabSelected="1" topLeftCell="A31" workbookViewId="0">
      <selection activeCell="H55" sqref="H55"/>
    </sheetView>
  </sheetViews>
  <sheetFormatPr defaultRowHeight="14.4"/>
  <cols>
    <col min="6" max="6" width="13.33203125" customWidth="1"/>
    <col min="7" max="7" width="67.44140625" customWidth="1"/>
    <col min="8" max="8" width="13.44140625" customWidth="1"/>
    <col min="9" max="9" width="13.77734375" bestFit="1" customWidth="1"/>
  </cols>
  <sheetData>
    <row r="4" spans="6:9">
      <c r="F4" t="s">
        <v>139</v>
      </c>
      <c r="G4" t="s">
        <v>140</v>
      </c>
      <c r="H4" t="s">
        <v>141</v>
      </c>
      <c r="I4" t="s">
        <v>265</v>
      </c>
    </row>
    <row r="5" spans="6:9">
      <c r="F5" t="s">
        <v>142</v>
      </c>
      <c r="G5" t="s">
        <v>143</v>
      </c>
      <c r="H5" t="s">
        <v>144</v>
      </c>
      <c r="I5" s="30">
        <v>1640000000</v>
      </c>
    </row>
    <row r="6" spans="6:9">
      <c r="F6" t="s">
        <v>145</v>
      </c>
      <c r="G6" t="s">
        <v>146</v>
      </c>
      <c r="H6" t="s">
        <v>144</v>
      </c>
      <c r="I6" s="30">
        <v>1048502330</v>
      </c>
    </row>
    <row r="7" spans="6:9" ht="15.6">
      <c r="F7" t="s">
        <v>147</v>
      </c>
      <c r="G7" t="s">
        <v>148</v>
      </c>
      <c r="H7" t="s">
        <v>144</v>
      </c>
      <c r="I7" s="29">
        <v>81000000</v>
      </c>
    </row>
    <row r="8" spans="6:9">
      <c r="F8" t="s">
        <v>149</v>
      </c>
      <c r="G8" t="s">
        <v>150</v>
      </c>
      <c r="H8" t="s">
        <v>144</v>
      </c>
      <c r="I8" s="30">
        <v>275000000</v>
      </c>
    </row>
    <row r="9" spans="6:9">
      <c r="F9" t="s">
        <v>151</v>
      </c>
      <c r="G9" t="s">
        <v>152</v>
      </c>
      <c r="H9" t="s">
        <v>144</v>
      </c>
      <c r="I9" s="30">
        <v>1968000000</v>
      </c>
    </row>
    <row r="10" spans="6:9" ht="15.6">
      <c r="F10" t="s">
        <v>153</v>
      </c>
      <c r="G10" t="s">
        <v>154</v>
      </c>
      <c r="H10" t="s">
        <v>144</v>
      </c>
      <c r="I10" s="29">
        <v>483000000</v>
      </c>
    </row>
    <row r="11" spans="6:9">
      <c r="F11" t="s">
        <v>155</v>
      </c>
      <c r="G11" t="s">
        <v>156</v>
      </c>
      <c r="H11" t="s">
        <v>144</v>
      </c>
      <c r="I11" s="30">
        <v>324000000</v>
      </c>
    </row>
    <row r="12" spans="6:9">
      <c r="F12" t="s">
        <v>157</v>
      </c>
      <c r="G12" t="s">
        <v>158</v>
      </c>
      <c r="H12" t="s">
        <v>144</v>
      </c>
      <c r="I12" s="30">
        <v>629000000</v>
      </c>
    </row>
    <row r="13" spans="6:9">
      <c r="F13" t="s">
        <v>159</v>
      </c>
      <c r="G13" t="s">
        <v>160</v>
      </c>
      <c r="H13" t="s">
        <v>144</v>
      </c>
      <c r="I13" s="30">
        <v>606120000</v>
      </c>
    </row>
    <row r="14" spans="6:9">
      <c r="F14" t="s">
        <v>161</v>
      </c>
      <c r="G14" t="s">
        <v>162</v>
      </c>
      <c r="H14" t="s">
        <v>144</v>
      </c>
      <c r="I14" s="30">
        <v>310000000</v>
      </c>
    </row>
    <row r="15" spans="6:9">
      <c r="F15" t="s">
        <v>163</v>
      </c>
      <c r="G15" t="s">
        <v>164</v>
      </c>
      <c r="H15" t="s">
        <v>144</v>
      </c>
      <c r="I15" s="30">
        <v>1550000000</v>
      </c>
    </row>
    <row r="16" spans="6:9">
      <c r="F16" t="s">
        <v>165</v>
      </c>
      <c r="G16" t="s">
        <v>166</v>
      </c>
      <c r="H16" t="s">
        <v>144</v>
      </c>
      <c r="I16" s="30">
        <v>3381774600</v>
      </c>
    </row>
    <row r="17" spans="6:9">
      <c r="F17" t="s">
        <v>167</v>
      </c>
      <c r="G17" t="s">
        <v>168</v>
      </c>
      <c r="H17" t="s">
        <v>144</v>
      </c>
      <c r="I17" s="30">
        <v>20000000</v>
      </c>
    </row>
    <row r="18" spans="6:9">
      <c r="F18" t="s">
        <v>169</v>
      </c>
      <c r="G18" t="s">
        <v>170</v>
      </c>
      <c r="H18" t="s">
        <v>171</v>
      </c>
      <c r="I18" s="30">
        <v>250489068.09565216</v>
      </c>
    </row>
    <row r="19" spans="6:9">
      <c r="F19" t="s">
        <v>172</v>
      </c>
      <c r="G19" t="s">
        <v>150</v>
      </c>
      <c r="H19" t="s">
        <v>171</v>
      </c>
      <c r="I19" s="30">
        <v>1157757187.9306381</v>
      </c>
    </row>
    <row r="20" spans="6:9">
      <c r="F20" t="s">
        <v>173</v>
      </c>
      <c r="G20" t="s">
        <v>174</v>
      </c>
      <c r="H20" t="s">
        <v>171</v>
      </c>
      <c r="I20" s="30">
        <v>62519873</v>
      </c>
    </row>
    <row r="21" spans="6:9">
      <c r="F21" t="s">
        <v>175</v>
      </c>
      <c r="G21" t="s">
        <v>176</v>
      </c>
      <c r="H21" t="s">
        <v>171</v>
      </c>
      <c r="I21" s="30">
        <v>312155532.34869564</v>
      </c>
    </row>
    <row r="22" spans="6:9">
      <c r="F22" t="s">
        <v>177</v>
      </c>
      <c r="G22" t="s">
        <v>178</v>
      </c>
      <c r="H22" t="s">
        <v>171</v>
      </c>
      <c r="I22" s="30">
        <v>375791499</v>
      </c>
    </row>
    <row r="23" spans="6:9">
      <c r="F23" t="s">
        <v>179</v>
      </c>
      <c r="G23" t="s">
        <v>180</v>
      </c>
      <c r="H23" t="s">
        <v>171</v>
      </c>
      <c r="I23" s="30">
        <v>218124268.29826099</v>
      </c>
    </row>
    <row r="24" spans="6:9">
      <c r="F24" t="s">
        <v>181</v>
      </c>
      <c r="G24" t="s">
        <v>182</v>
      </c>
      <c r="H24" t="s">
        <v>171</v>
      </c>
      <c r="I24" s="30">
        <v>15991302</v>
      </c>
    </row>
    <row r="25" spans="6:9">
      <c r="F25" t="s">
        <v>183</v>
      </c>
      <c r="G25" t="s">
        <v>184</v>
      </c>
      <c r="H25" t="s">
        <v>171</v>
      </c>
      <c r="I25" s="30">
        <v>84692601.689999998</v>
      </c>
    </row>
    <row r="26" spans="6:9">
      <c r="F26" t="s">
        <v>185</v>
      </c>
      <c r="G26" t="s">
        <v>186</v>
      </c>
      <c r="H26" t="s">
        <v>171</v>
      </c>
      <c r="I26" s="30">
        <v>737494048.83782613</v>
      </c>
    </row>
    <row r="27" spans="6:9">
      <c r="F27" t="s">
        <v>187</v>
      </c>
      <c r="G27" t="s">
        <v>188</v>
      </c>
      <c r="H27" t="s">
        <v>171</v>
      </c>
      <c r="I27" s="30">
        <v>10524139</v>
      </c>
    </row>
    <row r="28" spans="6:9">
      <c r="F28" t="s">
        <v>189</v>
      </c>
      <c r="G28" t="s">
        <v>190</v>
      </c>
      <c r="H28" t="s">
        <v>171</v>
      </c>
      <c r="I28" s="30">
        <v>28072036.540000003</v>
      </c>
    </row>
    <row r="29" spans="6:9">
      <c r="F29" t="s">
        <v>191</v>
      </c>
      <c r="G29" t="s">
        <v>192</v>
      </c>
      <c r="H29" t="s">
        <v>171</v>
      </c>
      <c r="I29" s="30">
        <v>22083949.16</v>
      </c>
    </row>
    <row r="30" spans="6:9">
      <c r="F30" t="s">
        <v>193</v>
      </c>
      <c r="G30" t="s">
        <v>194</v>
      </c>
      <c r="H30" t="s">
        <v>171</v>
      </c>
      <c r="I30" s="30">
        <v>521238460.99608701</v>
      </c>
    </row>
    <row r="31" spans="6:9">
      <c r="F31" t="s">
        <v>195</v>
      </c>
      <c r="G31" t="s">
        <v>196</v>
      </c>
      <c r="H31" t="s">
        <v>171</v>
      </c>
      <c r="I31" s="30">
        <v>301999999.92000002</v>
      </c>
    </row>
    <row r="32" spans="6:9">
      <c r="F32" t="s">
        <v>197</v>
      </c>
      <c r="G32" t="s">
        <v>168</v>
      </c>
      <c r="H32" t="s">
        <v>171</v>
      </c>
      <c r="I32" s="30">
        <v>166384242.6426087</v>
      </c>
    </row>
    <row r="33" spans="6:9">
      <c r="F33" t="s">
        <v>200</v>
      </c>
      <c r="G33" t="s">
        <v>199</v>
      </c>
      <c r="H33" t="s">
        <v>171</v>
      </c>
      <c r="I33" s="30">
        <v>40986847</v>
      </c>
    </row>
    <row r="34" spans="6:9">
      <c r="F34" t="s">
        <v>202</v>
      </c>
      <c r="G34" t="s">
        <v>201</v>
      </c>
      <c r="H34" t="s">
        <v>171</v>
      </c>
      <c r="I34" s="30">
        <v>21869344.440000001</v>
      </c>
    </row>
    <row r="35" spans="6:9">
      <c r="F35" t="s">
        <v>206</v>
      </c>
      <c r="G35" t="s">
        <v>203</v>
      </c>
      <c r="H35" t="s">
        <v>198</v>
      </c>
      <c r="I35" s="30">
        <v>0</v>
      </c>
    </row>
    <row r="36" spans="6:9">
      <c r="F36" t="s">
        <v>207</v>
      </c>
      <c r="G36" t="s">
        <v>204</v>
      </c>
      <c r="H36" t="s">
        <v>198</v>
      </c>
      <c r="I36" s="30">
        <v>0</v>
      </c>
    </row>
    <row r="37" spans="6:9">
      <c r="F37" t="s">
        <v>208</v>
      </c>
      <c r="G37" t="s">
        <v>205</v>
      </c>
      <c r="H37" t="s">
        <v>198</v>
      </c>
      <c r="I37" s="30">
        <v>0</v>
      </c>
    </row>
    <row r="38" spans="6:9">
      <c r="F38" s="35" t="s">
        <v>266</v>
      </c>
      <c r="G38" s="38" t="s">
        <v>267</v>
      </c>
      <c r="H38" t="s">
        <v>171</v>
      </c>
      <c r="I38" s="37">
        <f>SUBTOTAL(9,I41:I128)</f>
        <v>0</v>
      </c>
    </row>
    <row r="39" spans="6:9">
      <c r="F39" s="19" t="s">
        <v>275</v>
      </c>
      <c r="G39" t="s">
        <v>276</v>
      </c>
      <c r="H39" s="19" t="s">
        <v>270</v>
      </c>
      <c r="I39" s="30">
        <f>SUBTOTAL(9,I42:I129)</f>
        <v>0</v>
      </c>
    </row>
    <row r="40" spans="6:9" ht="26.4">
      <c r="F40" s="18" t="s">
        <v>277</v>
      </c>
      <c r="G40" t="s">
        <v>278</v>
      </c>
      <c r="H40" s="18" t="s">
        <v>268</v>
      </c>
      <c r="I40" s="30">
        <f>SUBTOTAL(9,I43:I130)</f>
        <v>0</v>
      </c>
    </row>
    <row r="41" spans="6:9">
      <c r="F41" s="9" t="s">
        <v>280</v>
      </c>
      <c r="G41" s="36" t="s">
        <v>279</v>
      </c>
      <c r="H41" s="2" t="s">
        <v>272</v>
      </c>
      <c r="I41" s="37">
        <f>SUBTOTAL(9,I44:I131)</f>
        <v>0</v>
      </c>
    </row>
    <row r="42" spans="6:9">
      <c r="F42" s="19" t="s">
        <v>281</v>
      </c>
      <c r="G42" s="19" t="s">
        <v>273</v>
      </c>
      <c r="H42" s="19" t="s">
        <v>274</v>
      </c>
      <c r="I42" s="30">
        <f>SUBTOTAL(9,I45:I132)</f>
        <v>0</v>
      </c>
    </row>
    <row r="43" spans="6:9">
      <c r="F43" t="s">
        <v>282</v>
      </c>
      <c r="G43" s="2" t="s">
        <v>58</v>
      </c>
      <c r="H43" s="2" t="s">
        <v>23</v>
      </c>
      <c r="I43" s="30">
        <f>SUBTOTAL(9,I46:I133)</f>
        <v>0</v>
      </c>
    </row>
    <row r="44" spans="6:9">
      <c r="F44" t="s">
        <v>284</v>
      </c>
      <c r="G44" t="s">
        <v>283</v>
      </c>
      <c r="H44" t="s">
        <v>198</v>
      </c>
      <c r="I44" s="30">
        <f>SUBTOTAL(9,I47:I134)</f>
        <v>0</v>
      </c>
    </row>
    <row r="50" spans="6:9" ht="28.8">
      <c r="F50" s="1" t="s">
        <v>141</v>
      </c>
      <c r="G50" s="1" t="s">
        <v>209</v>
      </c>
      <c r="H50" s="1" t="s">
        <v>214</v>
      </c>
      <c r="I50" s="1" t="s">
        <v>210</v>
      </c>
    </row>
    <row r="51" spans="6:9">
      <c r="F51" s="13" t="s">
        <v>171</v>
      </c>
      <c r="G51" s="13" t="s">
        <v>211</v>
      </c>
      <c r="H51" s="13" t="s">
        <v>171</v>
      </c>
      <c r="I51" s="13" t="s">
        <v>211</v>
      </c>
    </row>
    <row r="52" spans="6:9" ht="26.4">
      <c r="F52" s="2" t="s">
        <v>144</v>
      </c>
      <c r="G52" s="2" t="s">
        <v>215</v>
      </c>
      <c r="H52" s="2" t="s">
        <v>144</v>
      </c>
      <c r="I52" s="2" t="s">
        <v>215</v>
      </c>
    </row>
    <row r="53" spans="6:9">
      <c r="F53" s="2" t="s">
        <v>198</v>
      </c>
      <c r="G53" s="2" t="s">
        <v>212</v>
      </c>
      <c r="H53" s="2" t="s">
        <v>198</v>
      </c>
      <c r="I53" s="2" t="s">
        <v>212</v>
      </c>
    </row>
    <row r="54" spans="6:9">
      <c r="F54" s="2" t="s">
        <v>272</v>
      </c>
      <c r="G54" s="2" t="s">
        <v>213</v>
      </c>
      <c r="H54" s="2" t="s">
        <v>272</v>
      </c>
      <c r="I54" s="2" t="s">
        <v>213</v>
      </c>
    </row>
    <row r="55" spans="6:9">
      <c r="F55" s="2" t="s">
        <v>23</v>
      </c>
      <c r="G55" s="2" t="s">
        <v>58</v>
      </c>
      <c r="H55" s="2" t="s">
        <v>23</v>
      </c>
      <c r="I55" s="2" t="s">
        <v>58</v>
      </c>
    </row>
    <row r="56" spans="6:9">
      <c r="F56" s="18" t="s">
        <v>268</v>
      </c>
      <c r="G56" s="19" t="s">
        <v>269</v>
      </c>
      <c r="H56" s="18" t="s">
        <v>268</v>
      </c>
      <c r="I56" s="19" t="s">
        <v>269</v>
      </c>
    </row>
    <row r="57" spans="6:9">
      <c r="F57" s="19" t="s">
        <v>270</v>
      </c>
      <c r="G57" s="19" t="s">
        <v>271</v>
      </c>
      <c r="H57" s="19" t="s">
        <v>270</v>
      </c>
      <c r="I57" s="19" t="s">
        <v>271</v>
      </c>
    </row>
    <row r="58" spans="6:9">
      <c r="F58" s="19" t="s">
        <v>274</v>
      </c>
      <c r="G58" s="19" t="s">
        <v>273</v>
      </c>
      <c r="H58" s="19" t="s">
        <v>274</v>
      </c>
      <c r="I58" s="19" t="s">
        <v>273</v>
      </c>
    </row>
  </sheetData>
  <conditionalFormatting sqref="I10">
    <cfRule type="expression" dxfId="4" priority="3">
      <formula>AND(I10&lt;&gt;#REF!)</formula>
    </cfRule>
  </conditionalFormatting>
  <conditionalFormatting sqref="I10">
    <cfRule type="duplicateValues" dxfId="3" priority="4"/>
  </conditionalFormatting>
  <conditionalFormatting sqref="I7">
    <cfRule type="expression" dxfId="2" priority="1">
      <formula>AND(I7&lt;&gt;#REF!)</formula>
    </cfRule>
  </conditionalFormatting>
  <conditionalFormatting sqref="I7">
    <cfRule type="duplicateValues" dxfId="1" priority="2"/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f6d1ab2-6913-4946-9b6b-06be7c1a9017" origin="userSelected">
  <element uid="64a78ead-36fc-4674-8581-d2b7639be2f4" value=""/>
</sisl>
</file>

<file path=customXml/itemProps1.xml><?xml version="1.0" encoding="utf-8"?>
<ds:datastoreItem xmlns:ds="http://schemas.openxmlformats.org/officeDocument/2006/customXml" ds:itemID="{09606A1C-300B-4825-8EFB-F5161297273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all Category</vt:lpstr>
      <vt:lpstr>Initiative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Confidential | مقيّد</cp:keywords>
  <cp:lastModifiedBy/>
  <dcterms:created xsi:type="dcterms:W3CDTF">2015-06-05T18:17:20Z</dcterms:created>
  <dcterms:modified xsi:type="dcterms:W3CDTF">2026-06-14T12:14:27Z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MigrationMetadata">
    <vt:lpwstr>{"MigratedFrom":"Boldon_James","MigratedOn":"2025-10-05-09-08-44","MigrationToolVersion":"1.0.0.0"}</vt:lpwstr>
  </property>
  <property fmtid="{D5CDD505-2E9C-101B-9397-08002B2CF9AE}" pid="5" name="MigrationMetadataVersion">
    <vt:lpwstr>1.0</vt:lpwstr>
  </property>
  <property fmtid="{D5CDD505-2E9C-101B-9397-08002B2CF9AE}" pid="6" name="SecloreClassificationFooterTextValue">
    <vt:lpwstr>Confidential | مقيد</vt:lpwstr>
  </property>
  <property fmtid="{D5CDD505-2E9C-101B-9397-08002B2CF9AE}" pid="7" name="SecloreClassificationFooterColorHex">
    <vt:lpwstr>#f0c231</vt:lpwstr>
  </property>
  <property fmtid="{D5CDD505-2E9C-101B-9397-08002B2CF9AE}" pid="8" name="SecloreClassificationFooterFontSize">
    <vt:lpwstr>12</vt:lpwstr>
  </property>
  <property fmtid="{D5CDD505-2E9C-101B-9397-08002B2CF9AE}" pid="9" name="SecloreClassificationFooterAlignment">
    <vt:lpwstr>Left</vt:lpwstr>
  </property>
</Properties>
</file>